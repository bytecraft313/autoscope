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sors" sheetId="1" state="visible" r:id="rId3"/>
    <sheet name="Features" sheetId="2" state="visible" r:id="rId4"/>
    <sheet name="Code Improvements" sheetId="3" state="visible" r:id="rId5"/>
    <sheet name="Roadmap" sheetId="4" state="visible" r:id="rId6"/>
  </sheets>
  <definedNames>
    <definedName function="false" hidden="true" localSheetId="2" name="_xlnm._FilterDatabase" vbProcedure="false">'Code Improvements'!$A$1:$D$8</definedName>
    <definedName function="false" hidden="true" localSheetId="1" name="_xlnm._FilterDatabase" vbProcedure="false">Features!$A$1:$D$9</definedName>
    <definedName function="false" hidden="true" localSheetId="3" name="_xlnm._FilterDatabase" vbProcedure="false">Roadmap!$A$1:$C$7</definedName>
    <definedName function="false" hidden="true" localSheetId="0" name="_xlnm._FilterDatabase" vbProcedure="false">Sensors!$A$1:$E$23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<sst xmlns="http://schemas.openxmlformats.org/spreadsheetml/2006/main" count="191" uniqueCount="123">
  <si>
    <t xml:space="preserve">Group</t>
  </si>
  <si>
    <t xml:space="preserve">python-obd command</t>
  </si>
  <si>
    <t xml:space="preserve">Description</t>
  </si>
  <si>
    <t xml:space="preserve">Why it's useful</t>
  </si>
  <si>
    <t xml:space="preserve">Status</t>
  </si>
  <si>
    <t xml:space="preserve">Fuel</t>
  </si>
  <si>
    <t xml:space="preserve">FUEL_LEVEL</t>
  </si>
  <si>
    <t xml:space="preserve">Fuel tank level</t>
  </si>
  <si>
    <t xml:space="preserve">Basic fuel gauge</t>
  </si>
  <si>
    <t xml:space="preserve">Not started</t>
  </si>
  <si>
    <t xml:space="preserve">SHORT_FUEL_TRIM_1</t>
  </si>
  <si>
    <t xml:space="preserve">Short-term fuel trim, bank 1</t>
  </si>
  <si>
    <t xml:space="preserve">Indicator of vacuum leaks, dirty MAF, injector problems</t>
  </si>
  <si>
    <t xml:space="preserve">LONG_FUEL_TRIM_1</t>
  </si>
  <si>
    <t xml:space="preserve">Long-term fuel trim, bank 1</t>
  </si>
  <si>
    <t xml:space="preserve">Indicator of vacuum leaks, dirty MAF, injector problems (use _2 variants for bank 2)</t>
  </si>
  <si>
    <t xml:space="preserve">FUEL_STATUS</t>
  </si>
  <si>
    <t xml:space="preserve">Fuel system status (open/closed loop)</t>
  </si>
  <si>
    <t xml:space="preserve">Shows whether ECU is using O2 feedback</t>
  </si>
  <si>
    <t xml:space="preserve">COMMANDED_EQUIV_RATIO</t>
  </si>
  <si>
    <t xml:space="preserve">Commanded air-fuel equivalence ratio</t>
  </si>
  <si>
    <t xml:space="preserve">Shows what mixture the ECU is targeting</t>
  </si>
  <si>
    <t xml:space="preserve">Air</t>
  </si>
  <si>
    <t xml:space="preserve">MAF</t>
  </si>
  <si>
    <t xml:space="preserve">Mass air flow</t>
  </si>
  <si>
    <t xml:space="preserve">Needed for fuel economy calculation</t>
  </si>
  <si>
    <t xml:space="preserve">INTAKE_PRESSURE</t>
  </si>
  <si>
    <t xml:space="preserve">Intake manifold pressure</t>
  </si>
  <si>
    <t xml:space="preserve">Engine load context; needed for fuel economy math</t>
  </si>
  <si>
    <t xml:space="preserve">BAROMETRIC_PRESSURE</t>
  </si>
  <si>
    <t xml:space="preserve">Barometric pressure</t>
  </si>
  <si>
    <t xml:space="preserve">Altitude/weather correction</t>
  </si>
  <si>
    <t xml:space="preserve">AMBIANT_AIR_TEMP</t>
  </si>
  <si>
    <t xml:space="preserve">Ambient air temperature</t>
  </si>
  <si>
    <t xml:space="preserve">Library misspells AMBIENT</t>
  </si>
  <si>
    <t xml:space="preserve">Ignition</t>
  </si>
  <si>
    <t xml:space="preserve">TIMING_ADVANCE</t>
  </si>
  <si>
    <t xml:space="preserve">Ignition timing advance</t>
  </si>
  <si>
    <t xml:space="preserve">Shows how the engine runs under load</t>
  </si>
  <si>
    <t xml:space="preserve">ABSOLUTE_LOAD</t>
  </si>
  <si>
    <t xml:space="preserve">Absolute engine load</t>
  </si>
  <si>
    <t xml:space="preserve">Emissions</t>
  </si>
  <si>
    <t xml:space="preserve">O2_B1S1</t>
  </si>
  <si>
    <t xml:space="preserve">O2 sensor, bank 1 sensor 1</t>
  </si>
  <si>
    <t xml:space="preserve">Spots a failing O2 sensor</t>
  </si>
  <si>
    <t xml:space="preserve">O2_B1S2</t>
  </si>
  <si>
    <t xml:space="preserve">O2 sensor, bank 1 sensor 2</t>
  </si>
  <si>
    <t xml:space="preserve">Spots a failing catalytic converter</t>
  </si>
  <si>
    <t xml:space="preserve">CATALYST_TEMP_B1S1</t>
  </si>
  <si>
    <t xml:space="preserve">Catalyst temperature, bank 1 sensor 1</t>
  </si>
  <si>
    <t xml:space="preserve">Catalytic converter health</t>
  </si>
  <si>
    <t xml:space="preserve">EVAP_VAPOR_PRESSURE</t>
  </si>
  <si>
    <t xml:space="preserve">Evap system vapor pressure</t>
  </si>
  <si>
    <t xml:space="preserve">Evap leak detection</t>
  </si>
  <si>
    <t xml:space="preserve">Electrical</t>
  </si>
  <si>
    <t xml:space="preserve">CONTROL_MODULE_VOLTAGE</t>
  </si>
  <si>
    <t xml:space="preserve">ECU supply voltage</t>
  </si>
  <si>
    <t xml:space="preserve">Battery and alternator health</t>
  </si>
  <si>
    <t xml:space="preserve">ELM_VOLTAGE</t>
  </si>
  <si>
    <t xml:space="preserve">Adapter-measured voltage</t>
  </si>
  <si>
    <t xml:space="preserve">Driver</t>
  </si>
  <si>
    <t xml:space="preserve">ACCELERATOR_POS_D</t>
  </si>
  <si>
    <t xml:space="preserve">Accelerator pedal position D</t>
  </si>
  <si>
    <t xml:space="preserve">Pedal vs. throttle plate comparison</t>
  </si>
  <si>
    <t xml:space="preserve">RELATIVE_THROTTLE_POS</t>
  </si>
  <si>
    <t xml:space="preserve">Relative throttle position</t>
  </si>
  <si>
    <t xml:space="preserve">Trip</t>
  </si>
  <si>
    <t xml:space="preserve">RUN_TIME</t>
  </si>
  <si>
    <t xml:space="preserve">Engine run time</t>
  </si>
  <si>
    <t xml:space="preserve">Context for any warning light</t>
  </si>
  <si>
    <t xml:space="preserve">DISTANCE_W_MIL</t>
  </si>
  <si>
    <t xml:space="preserve">Distance traveled with MIL on</t>
  </si>
  <si>
    <t xml:space="preserve">DISTANCE_SINCE_DTC_CLEAR</t>
  </si>
  <si>
    <t xml:space="preserve">Distance since codes cleared</t>
  </si>
  <si>
    <t xml:space="preserve">Notes:</t>
  </si>
  <si>
    <t xml:space="preserve">All commands are standard PIDs in python-obd. Which ones your car supports varies; check connection.supported_commands at runtime.</t>
  </si>
  <si>
    <t xml:space="preserve">Standard OBD-II does not expose transmission temperature, individual tire pressures, or ABS data. Those are manufacturer-specific and need custom PID definitions.</t>
  </si>
  <si>
    <t xml:space="preserve">#</t>
  </si>
  <si>
    <t xml:space="preserve">Feature</t>
  </si>
  <si>
    <t xml:space="preserve">Details</t>
  </si>
  <si>
    <t xml:space="preserve">Live refresh and history</t>
  </si>
  <si>
    <t xml:space="preserve">Use @st.fragment(run_every=1) plus a rolling buffer in st.session_state (deque, maxlen=300) and line charts per sensor.</t>
  </si>
  <si>
    <t xml:space="preserve">Gauges</t>
  </si>
  <si>
    <t xml:space="preserve">Plotly gauge/indicator charts for RPM, speed, temperature with colored warning zones (e.g. coolant above 105 °C turns red).</t>
  </si>
  <si>
    <t xml:space="preserve">Diagnostic trouble codes</t>
  </si>
  <si>
    <t xml:space="preserve">Read with GET_DTC, clear with CLEAR_DTC, map codes to descriptions via a dtc_codes.json lookup. Confirm before clearing (it resets readiness monitors).</t>
  </si>
  <si>
    <t xml:space="preserve">Derived metrics</t>
  </si>
  <si>
    <t xml:space="preserve">Instant fuel economy: MPG ≈ 710.7 × speed(mph) / MAF(g/s), assuming gasoline at stoichiometric AFR. Also trip averages, distance, 0-100 times.</t>
  </si>
  <si>
    <t xml:space="preserve">Data logging</t>
  </si>
  <si>
    <t xml:space="preserve">Write every reading with a timestamp to SQLite or CSV for later analysis with pandas. Enables a replay mode that feeds a saved drive back through the app.</t>
  </si>
  <si>
    <t xml:space="preserve">Alerts</t>
  </si>
  <si>
    <t xml:space="preserve">Thresholds for overheating, low voltage, high fuel trims, shown as st.warning banners or toasts.</t>
  </si>
  <si>
    <t xml:space="preserve">Freeze frame data</t>
  </si>
  <si>
    <t xml:space="preserve">FREEZE_DTC shows what the sensors read when a fault was triggered.</t>
  </si>
  <si>
    <t xml:space="preserve">Multi-page layout</t>
  </si>
  <si>
    <t xml:space="preserve">Use Streamlit pages/ folder: Live, History, Diagnostics, Settings.</t>
  </si>
  <si>
    <t xml:space="preserve">Improvement</t>
  </si>
  <si>
    <t xml:space="preserve">Better simulation</t>
  </si>
  <si>
    <t xml:space="preserve">Values are independent noise now. Use smooth random walks or a state machine (idle, accelerating, cruising, braking); make RPM depend on speed and throttle.</t>
  </si>
  <si>
    <t xml:space="preserve">Separate simulator from reader</t>
  </si>
  <si>
    <t xml:space="preserve">Make SimulatedReader and OBDReader share an interface so app.py doesn't care which it gets.</t>
  </si>
  <si>
    <t xml:space="preserve">Data-driven PARAMETERS</t>
  </si>
  <si>
    <t xml:space="preserve">Add decimals, min, max, warn_above fields so the UI renders from data instead of hardcoded layouts.</t>
  </si>
  <si>
    <t xml:space="preserve">Batch reads and timing</t>
  </si>
  <si>
    <t xml:space="preserve">Real adapters manage roughly 5-20 queries/sec total. Poll fast values (RPM, speed) more often than slow ones (fuel level, temperatures).</t>
  </si>
  <si>
    <t xml:space="preserve">Error handling</t>
  </si>
  <si>
    <t xml:space="preserve">Handle adapter disconnect mid-drive and reconnect automatically.</t>
  </si>
  <si>
    <t xml:space="preserve">Tests</t>
  </si>
  <si>
    <t xml:space="preserve">Unit-test reader and derived-metric functions with pytest.</t>
  </si>
  <si>
    <t xml:space="preserve">Config and packaging</t>
  </si>
  <si>
    <t xml:space="preserve">Settings page or config.toml for port, units (metric/imperial), simulation toggle; add requirements.txt.</t>
  </si>
  <si>
    <t xml:space="preserve">Step</t>
  </si>
  <si>
    <t xml:space="preserve">Task</t>
  </si>
  <si>
    <t xml:space="preserve">Progress</t>
  </si>
  <si>
    <t xml:space="preserve">Live refresh with rolling charts</t>
  </si>
  <si>
    <t xml:space="preserve">Done</t>
  </si>
  <si>
    <t xml:space="preserve">Smoother simulator</t>
  </si>
  <si>
    <t xml:space="preserve">In progress</t>
  </si>
  <si>
    <t xml:space="preserve">Extra PIDs and data-driven PARAMETERS</t>
  </si>
  <si>
    <t xml:space="preserve">Logging and replay mode</t>
  </si>
  <si>
    <t xml:space="preserve">% complete</t>
  </si>
  <si>
    <t xml:space="preserve">DTC page</t>
  </si>
  <si>
    <t xml:space="preserve">Derived metrics like MPG, and alerts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</si>
</sst>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6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customFormat="false" ht="23.85" hidden="false" customHeight="false" outlineLevel="0" collapsed="false">
      <c r="A4" s="2" t="s">
        <v>5</v>
      </c>
      <c r="B4" s="2" t="s">
        <v>13</v>
      </c>
      <c r="C4" s="2" t="s">
        <v>14</v>
      </c>
      <c r="D4" s="2" t="s">
        <v>15</v>
      </c>
      <c r="E4" s="2" t="s">
        <v>9</v>
      </c>
    </row>
    <row r="5" customFormat="false" ht="15" hidden="false" customHeight="false" outlineLevel="0" collapsed="false">
      <c r="A5" s="2" t="s">
        <v>5</v>
      </c>
      <c r="B5" s="2" t="s">
        <v>16</v>
      </c>
      <c r="C5" s="2" t="s">
        <v>17</v>
      </c>
      <c r="D5" s="2" t="s">
        <v>18</v>
      </c>
      <c r="E5" s="2" t="s">
        <v>9</v>
      </c>
    </row>
    <row r="6" customFormat="false" ht="15" hidden="false" customHeight="false" outlineLevel="0" collapsed="false">
      <c r="A6" s="2" t="s">
        <v>5</v>
      </c>
      <c r="B6" s="2" t="s">
        <v>19</v>
      </c>
      <c r="C6" s="2" t="s">
        <v>20</v>
      </c>
      <c r="D6" s="2" t="s">
        <v>21</v>
      </c>
      <c r="E6" s="2" t="s">
        <v>9</v>
      </c>
    </row>
    <row r="7" customFormat="false" ht="15" hidden="false" customHeight="false" outlineLevel="0" collapsed="false">
      <c r="A7" s="2" t="s">
        <v>22</v>
      </c>
      <c r="B7" s="2" t="s">
        <v>23</v>
      </c>
      <c r="C7" s="2" t="s">
        <v>24</v>
      </c>
      <c r="D7" s="2" t="s">
        <v>25</v>
      </c>
      <c r="E7" s="2" t="s">
        <v>9</v>
      </c>
    </row>
    <row r="8" customFormat="false" ht="15" hidden="false" customHeight="false" outlineLevel="0" collapsed="false">
      <c r="A8" s="2" t="s">
        <v>22</v>
      </c>
      <c r="B8" s="2" t="s">
        <v>26</v>
      </c>
      <c r="C8" s="2" t="s">
        <v>27</v>
      </c>
      <c r="D8" s="2" t="s">
        <v>28</v>
      </c>
      <c r="E8" s="2" t="s">
        <v>9</v>
      </c>
    </row>
    <row r="9" customFormat="false" ht="15" hidden="false" customHeight="false" outlineLevel="0" collapsed="false">
      <c r="A9" s="2" t="s">
        <v>22</v>
      </c>
      <c r="B9" s="2" t="s">
        <v>29</v>
      </c>
      <c r="C9" s="2" t="s">
        <v>30</v>
      </c>
      <c r="D9" s="2" t="s">
        <v>31</v>
      </c>
      <c r="E9" s="2" t="s">
        <v>9</v>
      </c>
    </row>
    <row r="10" customFormat="false" ht="15" hidden="false" customHeight="false" outlineLevel="0" collapsed="false">
      <c r="A10" s="2" t="s">
        <v>22</v>
      </c>
      <c r="B10" s="2" t="s">
        <v>32</v>
      </c>
      <c r="C10" s="2" t="s">
        <v>33</v>
      </c>
      <c r="D10" s="2" t="s">
        <v>34</v>
      </c>
      <c r="E10" s="2" t="s">
        <v>9</v>
      </c>
    </row>
    <row r="11" customFormat="false" ht="15" hidden="false" customHeight="false" outlineLevel="0" collapsed="false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9</v>
      </c>
    </row>
    <row r="12" customFormat="false" ht="15" hidden="false" customHeight="false" outlineLevel="0" collapsed="false">
      <c r="A12" s="2" t="s">
        <v>35</v>
      </c>
      <c r="B12" s="2" t="s">
        <v>39</v>
      </c>
      <c r="C12" s="2" t="s">
        <v>40</v>
      </c>
      <c r="D12" s="2" t="s">
        <v>38</v>
      </c>
      <c r="E12" s="2" t="s">
        <v>9</v>
      </c>
    </row>
    <row r="13" customFormat="false" ht="15" hidden="false" customHeight="false" outlineLevel="0" collapsed="false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9</v>
      </c>
    </row>
    <row r="14" customFormat="false" ht="15" hidden="false" customHeight="false" outlineLevel="0" collapsed="false">
      <c r="A14" s="2" t="s">
        <v>41</v>
      </c>
      <c r="B14" s="2" t="s">
        <v>45</v>
      </c>
      <c r="C14" s="2" t="s">
        <v>46</v>
      </c>
      <c r="D14" s="2" t="s">
        <v>47</v>
      </c>
      <c r="E14" s="2" t="s">
        <v>9</v>
      </c>
    </row>
    <row r="15" customFormat="false" ht="15" hidden="false" customHeight="false" outlineLevel="0" collapsed="false">
      <c r="A15" s="2" t="s">
        <v>41</v>
      </c>
      <c r="B15" s="2" t="s">
        <v>48</v>
      </c>
      <c r="C15" s="2" t="s">
        <v>49</v>
      </c>
      <c r="D15" s="2" t="s">
        <v>50</v>
      </c>
      <c r="E15" s="2" t="s">
        <v>9</v>
      </c>
    </row>
    <row r="16" customFormat="false" ht="15" hidden="false" customHeight="false" outlineLevel="0" collapsed="false">
      <c r="A16" s="2" t="s">
        <v>41</v>
      </c>
      <c r="B16" s="2" t="s">
        <v>51</v>
      </c>
      <c r="C16" s="2" t="s">
        <v>52</v>
      </c>
      <c r="D16" s="2" t="s">
        <v>53</v>
      </c>
      <c r="E16" s="2" t="s">
        <v>9</v>
      </c>
    </row>
    <row r="17" customFormat="false" ht="15" hidden="false" customHeight="false" outlineLevel="0" collapsed="false">
      <c r="A17" s="2" t="s">
        <v>54</v>
      </c>
      <c r="B17" s="2" t="s">
        <v>55</v>
      </c>
      <c r="C17" s="2" t="s">
        <v>56</v>
      </c>
      <c r="D17" s="2" t="s">
        <v>57</v>
      </c>
      <c r="E17" s="2" t="s">
        <v>9</v>
      </c>
    </row>
    <row r="18" customFormat="false" ht="15" hidden="false" customHeight="false" outlineLevel="0" collapsed="false">
      <c r="A18" s="2" t="s">
        <v>54</v>
      </c>
      <c r="B18" s="2" t="s">
        <v>58</v>
      </c>
      <c r="C18" s="2" t="s">
        <v>59</v>
      </c>
      <c r="D18" s="2" t="s">
        <v>57</v>
      </c>
      <c r="E18" s="2" t="s">
        <v>9</v>
      </c>
    </row>
    <row r="19" customFormat="false" ht="15" hidden="false" customHeight="false" outlineLevel="0" collapsed="false">
      <c r="A19" s="2" t="s">
        <v>60</v>
      </c>
      <c r="B19" s="2" t="s">
        <v>61</v>
      </c>
      <c r="C19" s="2" t="s">
        <v>62</v>
      </c>
      <c r="D19" s="2" t="s">
        <v>63</v>
      </c>
      <c r="E19" s="2" t="s">
        <v>9</v>
      </c>
    </row>
    <row r="20" customFormat="false" ht="15" hidden="false" customHeight="false" outlineLevel="0" collapsed="false">
      <c r="A20" s="2" t="s">
        <v>60</v>
      </c>
      <c r="B20" s="2" t="s">
        <v>64</v>
      </c>
      <c r="C20" s="2" t="s">
        <v>65</v>
      </c>
      <c r="D20" s="2" t="s">
        <v>63</v>
      </c>
      <c r="E20" s="2" t="s">
        <v>9</v>
      </c>
    </row>
    <row r="21" customFormat="false" ht="15" hidden="false" customHeight="false" outlineLevel="0" collapsed="false">
      <c r="A21" s="2" t="s">
        <v>66</v>
      </c>
      <c r="B21" s="2" t="s">
        <v>67</v>
      </c>
      <c r="C21" s="2" t="s">
        <v>68</v>
      </c>
      <c r="D21" s="2" t="s">
        <v>69</v>
      </c>
      <c r="E21" s="2" t="s">
        <v>9</v>
      </c>
    </row>
    <row r="22" customFormat="false" ht="15" hidden="false" customHeight="false" outlineLevel="0" collapsed="false">
      <c r="A22" s="2" t="s">
        <v>66</v>
      </c>
      <c r="B22" s="2" t="s">
        <v>70</v>
      </c>
      <c r="C22" s="2" t="s">
        <v>71</v>
      </c>
      <c r="D22" s="2" t="s">
        <v>69</v>
      </c>
      <c r="E22" s="2" t="s">
        <v>9</v>
      </c>
    </row>
    <row r="23" customFormat="false" ht="15" hidden="false" customHeight="false" outlineLevel="0" collapsed="false">
      <c r="A23" s="2" t="s">
        <v>66</v>
      </c>
      <c r="B23" s="2" t="s">
        <v>72</v>
      </c>
      <c r="C23" s="2" t="s">
        <v>73</v>
      </c>
      <c r="D23" s="2" t="s">
        <v>69</v>
      </c>
      <c r="E23" s="2" t="s">
        <v>9</v>
      </c>
    </row>
    <row r="25" customFormat="false" ht="15" hidden="false" customHeight="false" outlineLevel="0" collapsed="false">
      <c r="A25" s="3" t="s">
        <v>74</v>
      </c>
    </row>
    <row r="26" customFormat="false" ht="15" hidden="false" customHeight="false" outlineLevel="0" collapsed="false">
      <c r="A26" s="4" t="s">
        <v>75</v>
      </c>
    </row>
    <row r="27" customFormat="false" ht="15" hidden="false" customHeight="false" outlineLevel="0" collapsed="false">
      <c r="A27" s="4" t="s">
        <v>76</v>
      </c>
    </row>
  </sheetData>
  <autoFilter ref="A1:E23"/>
  <dataValidations count="1">
    <dataValidation allowBlank="true" errorStyle="stop" operator="between" showDropDown="false" showErrorMessage="false" showInputMessage="false" sqref="E2:E23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9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77</v>
      </c>
      <c r="B1" s="1" t="s">
        <v>78</v>
      </c>
      <c r="C1" s="1" t="s">
        <v>79</v>
      </c>
      <c r="D1" s="1" t="s">
        <v>4</v>
      </c>
    </row>
    <row r="2" customFormat="false" ht="23.85" hidden="false" customHeight="false" outlineLevel="0" collapsed="false">
      <c r="A2" s="2" t="n">
        <v>1</v>
      </c>
      <c r="B2" s="2" t="s">
        <v>80</v>
      </c>
      <c r="C2" s="2" t="s">
        <v>81</v>
      </c>
      <c r="D2" s="2" t="s">
        <v>9</v>
      </c>
    </row>
    <row r="3" customFormat="false" ht="23.85" hidden="false" customHeight="false" outlineLevel="0" collapsed="false">
      <c r="A3" s="2" t="n">
        <v>2</v>
      </c>
      <c r="B3" s="2" t="s">
        <v>82</v>
      </c>
      <c r="C3" s="2" t="s">
        <v>83</v>
      </c>
      <c r="D3" s="2" t="s">
        <v>9</v>
      </c>
    </row>
    <row r="4" customFormat="false" ht="23.85" hidden="false" customHeight="false" outlineLevel="0" collapsed="false">
      <c r="A4" s="2" t="n">
        <v>3</v>
      </c>
      <c r="B4" s="2" t="s">
        <v>84</v>
      </c>
      <c r="C4" s="2" t="s">
        <v>85</v>
      </c>
      <c r="D4" s="2" t="s">
        <v>9</v>
      </c>
    </row>
    <row r="5" customFormat="false" ht="23.85" hidden="false" customHeight="false" outlineLevel="0" collapsed="false">
      <c r="A5" s="2" t="n">
        <v>4</v>
      </c>
      <c r="B5" s="2" t="s">
        <v>86</v>
      </c>
      <c r="C5" s="2" t="s">
        <v>87</v>
      </c>
      <c r="D5" s="2" t="s">
        <v>9</v>
      </c>
    </row>
    <row r="6" customFormat="false" ht="23.85" hidden="false" customHeight="false" outlineLevel="0" collapsed="false">
      <c r="A6" s="2" t="n">
        <v>5</v>
      </c>
      <c r="B6" s="2" t="s">
        <v>88</v>
      </c>
      <c r="C6" s="2" t="s">
        <v>89</v>
      </c>
      <c r="D6" s="2" t="s">
        <v>9</v>
      </c>
    </row>
    <row r="7" customFormat="false" ht="15" hidden="false" customHeight="false" outlineLevel="0" collapsed="false">
      <c r="A7" s="2" t="n">
        <v>6</v>
      </c>
      <c r="B7" s="2" t="s">
        <v>90</v>
      </c>
      <c r="C7" s="2" t="s">
        <v>91</v>
      </c>
      <c r="D7" s="2" t="s">
        <v>9</v>
      </c>
    </row>
    <row r="8" customFormat="false" ht="15" hidden="false" customHeight="false" outlineLevel="0" collapsed="false">
      <c r="A8" s="2" t="n">
        <v>7</v>
      </c>
      <c r="B8" s="2" t="s">
        <v>92</v>
      </c>
      <c r="C8" s="2" t="s">
        <v>93</v>
      </c>
      <c r="D8" s="2" t="s">
        <v>9</v>
      </c>
    </row>
    <row r="9" customFormat="false" ht="15" hidden="false" customHeight="false" outlineLevel="0" collapsed="false">
      <c r="A9" s="2" t="n">
        <v>8</v>
      </c>
      <c r="B9" s="2" t="s">
        <v>94</v>
      </c>
      <c r="C9" s="2" t="s">
        <v>95</v>
      </c>
      <c r="D9" s="2" t="s">
        <v>9</v>
      </c>
    </row>
  </sheetData>
  <autoFilter ref="A1:D9"/>
  <dataValidations count="1">
    <dataValidation allowBlank="true" errorStyle="stop" operator="between" showDropDown="false" showErrorMessage="false" showInputMessage="false" sqref="D2:D9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9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77</v>
      </c>
      <c r="B1" s="1" t="s">
        <v>96</v>
      </c>
      <c r="C1" s="1" t="s">
        <v>79</v>
      </c>
      <c r="D1" s="1" t="s">
        <v>4</v>
      </c>
    </row>
    <row r="2" customFormat="false" ht="23.85" hidden="false" customHeight="false" outlineLevel="0" collapsed="false">
      <c r="A2" s="2" t="n">
        <v>1</v>
      </c>
      <c r="B2" s="2" t="s">
        <v>97</v>
      </c>
      <c r="C2" s="2" t="s">
        <v>98</v>
      </c>
      <c r="D2" s="2" t="s">
        <v>9</v>
      </c>
    </row>
    <row r="3" customFormat="false" ht="15" hidden="false" customHeight="false" outlineLevel="0" collapsed="false">
      <c r="A3" s="2" t="n">
        <v>2</v>
      </c>
      <c r="B3" s="2" t="s">
        <v>99</v>
      </c>
      <c r="C3" s="2" t="s">
        <v>100</v>
      </c>
      <c r="D3" s="2" t="s">
        <v>9</v>
      </c>
    </row>
    <row r="4" customFormat="false" ht="15" hidden="false" customHeight="false" outlineLevel="0" collapsed="false">
      <c r="A4" s="2" t="n">
        <v>3</v>
      </c>
      <c r="B4" s="2" t="s">
        <v>101</v>
      </c>
      <c r="C4" s="2" t="s">
        <v>102</v>
      </c>
      <c r="D4" s="2" t="s">
        <v>9</v>
      </c>
    </row>
    <row r="5" customFormat="false" ht="23.85" hidden="false" customHeight="false" outlineLevel="0" collapsed="false">
      <c r="A5" s="2" t="n">
        <v>4</v>
      </c>
      <c r="B5" s="2" t="s">
        <v>103</v>
      </c>
      <c r="C5" s="2" t="s">
        <v>104</v>
      </c>
      <c r="D5" s="2" t="s">
        <v>9</v>
      </c>
    </row>
    <row r="6" customFormat="false" ht="15" hidden="false" customHeight="false" outlineLevel="0" collapsed="false">
      <c r="A6" s="2" t="n">
        <v>5</v>
      </c>
      <c r="B6" s="2" t="s">
        <v>105</v>
      </c>
      <c r="C6" s="2" t="s">
        <v>106</v>
      </c>
      <c r="D6" s="2" t="s">
        <v>9</v>
      </c>
    </row>
    <row r="7" customFormat="false" ht="15" hidden="false" customHeight="false" outlineLevel="0" collapsed="false">
      <c r="A7" s="2" t="n">
        <v>6</v>
      </c>
      <c r="B7" s="2" t="s">
        <v>107</v>
      </c>
      <c r="C7" s="2" t="s">
        <v>108</v>
      </c>
      <c r="D7" s="2" t="s">
        <v>9</v>
      </c>
    </row>
    <row r="8" customFormat="false" ht="15" hidden="false" customHeight="false" outlineLevel="0" collapsed="false">
      <c r="A8" s="2" t="n">
        <v>7</v>
      </c>
      <c r="B8" s="2" t="s">
        <v>109</v>
      </c>
      <c r="C8" s="2" t="s">
        <v>110</v>
      </c>
      <c r="D8" s="2" t="s">
        <v>9</v>
      </c>
    </row>
  </sheetData>
  <autoFilter ref="A1:D8"/>
  <dataValidations count="1">
    <dataValidation allowBlank="true" errorStyle="stop" operator="between" showDropDown="false" showErrorMessage="false" showInputMessage="false" sqref="D2:D8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111</v>
      </c>
      <c r="B1" s="1" t="s">
        <v>112</v>
      </c>
      <c r="C1" s="1" t="s">
        <v>4</v>
      </c>
      <c r="E1" s="3" t="s">
        <v>113</v>
      </c>
    </row>
    <row r="2" customFormat="false" ht="15" hidden="false" customHeight="false" outlineLevel="0" collapsed="false">
      <c r="A2" s="2" t="n">
        <v>1</v>
      </c>
      <c r="B2" s="2" t="s">
        <v>114</v>
      </c>
      <c r="C2" s="2" t="s">
        <v>9</v>
      </c>
      <c r="E2" s="4" t="s">
        <v>115</v>
      </c>
      <c r="F2" s="4" t="n">
        <f aca="false">COUNTIF(C2:C7,"Done")</f>
        <v>0</v>
      </c>
    </row>
    <row r="3" customFormat="false" ht="15" hidden="false" customHeight="false" outlineLevel="0" collapsed="false">
      <c r="A3" s="2" t="n">
        <v>2</v>
      </c>
      <c r="B3" s="2" t="s">
        <v>116</v>
      </c>
      <c r="C3" s="2" t="s">
        <v>9</v>
      </c>
      <c r="E3" s="4" t="s">
        <v>117</v>
      </c>
      <c r="F3" s="4" t="n">
        <f aca="false">COUNTIF(C2:C7,"In progress")</f>
        <v>0</v>
      </c>
    </row>
    <row r="4" customFormat="false" ht="15" hidden="false" customHeight="false" outlineLevel="0" collapsed="false">
      <c r="A4" s="2" t="n">
        <v>3</v>
      </c>
      <c r="B4" s="2" t="s">
        <v>118</v>
      </c>
      <c r="C4" s="2" t="s">
        <v>9</v>
      </c>
      <c r="E4" s="4" t="s">
        <v>9</v>
      </c>
      <c r="F4" s="4" t="n">
        <f aca="false">COUNTIF(C2:C7,"Not started")</f>
        <v>6</v>
      </c>
    </row>
    <row r="5" customFormat="false" ht="15" hidden="false" customHeight="false" outlineLevel="0" collapsed="false">
      <c r="A5" s="2" t="n">
        <v>4</v>
      </c>
      <c r="B5" s="2" t="s">
        <v>119</v>
      </c>
      <c r="C5" s="2" t="s">
        <v>9</v>
      </c>
      <c r="E5" s="4" t="s">
        <v>120</v>
      </c>
      <c r="F5" s="5" t="n">
        <f aca="false">IFERROR(F2/COUNTA(B2:B7),0)</f>
        <v>0</v>
      </c>
    </row>
    <row r="6" customFormat="false" ht="15" hidden="false" customHeight="false" outlineLevel="0" collapsed="false">
      <c r="A6" s="2" t="n">
        <v>5</v>
      </c>
      <c r="B6" s="2" t="s">
        <v>121</v>
      </c>
      <c r="C6" s="2" t="s">
        <v>9</v>
      </c>
    </row>
    <row r="7" customFormat="false" ht="15" hidden="false" customHeight="false" outlineLevel="0" collapsed="false">
      <c r="A7" s="2" t="n">
        <v>6</v>
      </c>
      <c r="B7" s="2" t="s">
        <v>122</v>
      </c>
      <c r="C7" s="2" t="s">
        <v>9</v>
      </c>
    </row>
  </sheetData>
  <autoFilter ref="A1:C7"/>
  <dataValidations count="1">
    <dataValidation allowBlank="true" errorStyle="stop" operator="between" showDropDown="false" showErrorMessage="false" showInputMessage="false" sqref="C2:C7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2026-10-07T05:37:26Z</dcterms:created>
  <dc:creator>openpyxl</dc:creator>
  <dc:description/>
  <dc:language>en-US</dc:language>
  <cp:lastModifiedBy/>
  <dcterms:modified xsi:type="dcterms:W3CDTF">2026-10-07T05:37:26Z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